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และลงนาม" sheetId="1" state="visible" r:id="rId1"/>
    <sheet name="3.1 ผู้ใช้และสิทธิ์" sheetId="2" state="visible" r:id="rId2"/>
    <sheet name="3.2 บุคลากรและการลา" sheetId="3" state="visible" r:id="rId3"/>
    <sheet name="3.3 กะงานและงานพนักงาน" sheetId="4" state="visible" r:id="rId4"/>
    <sheet name="3.4 การจัดการเงินสด" sheetId="5" state="visible" r:id="rId5"/>
    <sheet name="3.5 เมนูและสูตรวัตถุดิบ" sheetId="6" state="visible" r:id="rId6"/>
    <sheet name="3.6 คลังสินค้าและรับสินค้า" sheetId="7" state="visible" r:id="rId7"/>
    <sheet name="3.7 คำสั่งซื้อและ KDS" sheetId="8" state="visible" r:id="rId8"/>
    <sheet name="3.8 สั่งซื้อล่วงหน้า" sheetId="9" state="visible" r:id="rId9"/>
    <sheet name="3.9 รายการของที่ต้องซื้อ" sheetId="10" state="visible" r:id="rId10"/>
    <sheet name="3.10 ข้อมูลลูกค้า (CRM)" sheetId="11" state="visible" r:id="rId11"/>
    <sheet name="3.11 รายงานและแดชบอร์ด" sheetId="12" state="visible" r:id="rId12"/>
    <sheet name="ข้อ 4 ข้อกำหนดทางเทคนิค" sheetId="13" state="visible" r:id="rId13"/>
    <sheet name="ฟังก์ชันเพิ่มเติม (นอก TOR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สรุปผลการทดสอบระบบ (UAT) — ระบบ POS คาเฟ่ตะวันอ้อมข้าว</t>
        </is>
      </c>
    </row>
    <row r="3" ht="45" customHeight="1">
      <c r="A3" s="2" t="inlineStr">
        <is>
          <t>เกณฑ์การตรวจรับ: รายการทดสอบในขอบเขต TOR (ข้อ 3.1–3.11 และข้อ 4) ต้องมีผล 'ผ่าน' ครบทุกรายการ รายการในชีต 'ฟังก์ชันเพิ่มเติม (นอก TOR)' ไม่อยู่ในเกณฑ์การตรวจรับ</t>
        </is>
      </c>
    </row>
    <row r="5">
      <c r="A5" s="3" t="inlineStr">
        <is>
          <t>โมดูล</t>
        </is>
      </c>
      <c r="B5" s="3" t="inlineStr">
        <is>
          <t>จำนวนข้อทดสอบ</t>
        </is>
      </c>
      <c r="C5" s="3" t="inlineStr">
        <is>
          <t>ผ่าน</t>
        </is>
      </c>
      <c r="D5" s="3" t="inlineStr">
        <is>
          <t>ไม่ผ่าน</t>
        </is>
      </c>
      <c r="E5" s="3" t="inlineStr">
        <is>
          <t>ยังไม่ทดสอบ</t>
        </is>
      </c>
    </row>
    <row r="6">
      <c r="A6" s="4" t="inlineStr">
        <is>
          <t>3.1 ผู้ใช้และสิทธิ์</t>
        </is>
      </c>
      <c r="B6" s="4" t="n">
        <v>8</v>
      </c>
      <c r="C6" s="4">
        <f>COUNTIF('3.1 ผู้ใช้และสิทธิ์'!E:E,"ผ่าน")</f>
        <v/>
      </c>
      <c r="D6" s="4">
        <f>COUNTIF('3.1 ผู้ใช้และสิทธิ์'!E:E,"ไม่ผ่าน")</f>
        <v/>
      </c>
      <c r="E6" s="4">
        <f>8-COUNTIF('3.1 ผู้ใช้และสิทธิ์'!E:E,"ผ่าน")-COUNTIF('3.1 ผู้ใช้และสิทธิ์'!E:E,"ไม่ผ่าน")</f>
        <v/>
      </c>
    </row>
    <row r="7">
      <c r="A7" s="4" t="inlineStr">
        <is>
          <t>3.2 บุคลากรและการลา</t>
        </is>
      </c>
      <c r="B7" s="4" t="n">
        <v>9</v>
      </c>
      <c r="C7" s="4">
        <f>COUNTIF('3.2 บุคลากรและการลา'!E:E,"ผ่าน")</f>
        <v/>
      </c>
      <c r="D7" s="4">
        <f>COUNTIF('3.2 บุคลากรและการลา'!E:E,"ไม่ผ่าน")</f>
        <v/>
      </c>
      <c r="E7" s="4">
        <f>9-COUNTIF('3.2 บุคลากรและการลา'!E:E,"ผ่าน")-COUNTIF('3.2 บุคลากรและการลา'!E:E,"ไม่ผ่าน")</f>
        <v/>
      </c>
    </row>
    <row r="8">
      <c r="A8" s="4" t="inlineStr">
        <is>
          <t>3.3 กะงานและงานพนักงาน</t>
        </is>
      </c>
      <c r="B8" s="4" t="n">
        <v>5</v>
      </c>
      <c r="C8" s="4">
        <f>COUNTIF('3.3 กะงานและงานพนักงาน'!E:E,"ผ่าน")</f>
        <v/>
      </c>
      <c r="D8" s="4">
        <f>COUNTIF('3.3 กะงานและงานพนักงาน'!E:E,"ไม่ผ่าน")</f>
        <v/>
      </c>
      <c r="E8" s="4">
        <f>5-COUNTIF('3.3 กะงานและงานพนักงาน'!E:E,"ผ่าน")-COUNTIF('3.3 กะงานและงานพนักงาน'!E:E,"ไม่ผ่าน")</f>
        <v/>
      </c>
    </row>
    <row r="9">
      <c r="A9" s="4" t="inlineStr">
        <is>
          <t>3.4 การจัดการเงินสด</t>
        </is>
      </c>
      <c r="B9" s="4" t="n">
        <v>4</v>
      </c>
      <c r="C9" s="4">
        <f>COUNTIF('3.4 การจัดการเงินสด'!E:E,"ผ่าน")</f>
        <v/>
      </c>
      <c r="D9" s="4">
        <f>COUNTIF('3.4 การจัดการเงินสด'!E:E,"ไม่ผ่าน")</f>
        <v/>
      </c>
      <c r="E9" s="4">
        <f>4-COUNTIF('3.4 การจัดการเงินสด'!E:E,"ผ่าน")-COUNTIF('3.4 การจัดการเงินสด'!E:E,"ไม่ผ่าน")</f>
        <v/>
      </c>
    </row>
    <row r="10">
      <c r="A10" s="4" t="inlineStr">
        <is>
          <t>3.5 เมนูและสูตรวัตถุดิบ</t>
        </is>
      </c>
      <c r="B10" s="4" t="n">
        <v>8</v>
      </c>
      <c r="C10" s="4">
        <f>COUNTIF('3.5 เมนูและสูตรวัตถุดิบ'!E:E,"ผ่าน")</f>
        <v/>
      </c>
      <c r="D10" s="4">
        <f>COUNTIF('3.5 เมนูและสูตรวัตถุดิบ'!E:E,"ไม่ผ่าน")</f>
        <v/>
      </c>
      <c r="E10" s="4">
        <f>8-COUNTIF('3.5 เมนูและสูตรวัตถุดิบ'!E:E,"ผ่าน")-COUNTIF('3.5 เมนูและสูตรวัตถุดิบ'!E:E,"ไม่ผ่าน")</f>
        <v/>
      </c>
    </row>
    <row r="11">
      <c r="A11" s="4" t="inlineStr">
        <is>
          <t>3.6 คลังสินค้าและรับสินค้า</t>
        </is>
      </c>
      <c r="B11" s="4" t="n">
        <v>7</v>
      </c>
      <c r="C11" s="4">
        <f>COUNTIF('3.6 คลังสินค้าและรับสินค้า'!E:E,"ผ่าน")</f>
        <v/>
      </c>
      <c r="D11" s="4">
        <f>COUNTIF('3.6 คลังสินค้าและรับสินค้า'!E:E,"ไม่ผ่าน")</f>
        <v/>
      </c>
      <c r="E11" s="4">
        <f>7-COUNTIF('3.6 คลังสินค้าและรับสินค้า'!E:E,"ผ่าน")-COUNTIF('3.6 คลังสินค้าและรับสินค้า'!E:E,"ไม่ผ่าน")</f>
        <v/>
      </c>
    </row>
    <row r="12">
      <c r="A12" s="4" t="inlineStr">
        <is>
          <t>3.7 คำสั่งซื้อและ KDS</t>
        </is>
      </c>
      <c r="B12" s="4" t="n">
        <v>9</v>
      </c>
      <c r="C12" s="4">
        <f>COUNTIF('3.7 คำสั่งซื้อและ KDS'!E:E,"ผ่าน")</f>
        <v/>
      </c>
      <c r="D12" s="4">
        <f>COUNTIF('3.7 คำสั่งซื้อและ KDS'!E:E,"ไม่ผ่าน")</f>
        <v/>
      </c>
      <c r="E12" s="4">
        <f>9-COUNTIF('3.7 คำสั่งซื้อและ KDS'!E:E,"ผ่าน")-COUNTIF('3.7 คำสั่งซื้อและ KDS'!E:E,"ไม่ผ่าน")</f>
        <v/>
      </c>
    </row>
    <row r="13">
      <c r="A13" s="4" t="inlineStr">
        <is>
          <t>3.8 สั่งซื้อล่วงหน้า</t>
        </is>
      </c>
      <c r="B13" s="4" t="n">
        <v>6</v>
      </c>
      <c r="C13" s="4">
        <f>COUNTIF('3.8 สั่งซื้อล่วงหน้า'!E:E,"ผ่าน")</f>
        <v/>
      </c>
      <c r="D13" s="4">
        <f>COUNTIF('3.8 สั่งซื้อล่วงหน้า'!E:E,"ไม่ผ่าน")</f>
        <v/>
      </c>
      <c r="E13" s="4">
        <f>6-COUNTIF('3.8 สั่งซื้อล่วงหน้า'!E:E,"ผ่าน")-COUNTIF('3.8 สั่งซื้อล่วงหน้า'!E:E,"ไม่ผ่าน")</f>
        <v/>
      </c>
    </row>
    <row r="14">
      <c r="A14" s="4" t="inlineStr">
        <is>
          <t>3.9 รายการของที่ต้องซื้อ</t>
        </is>
      </c>
      <c r="B14" s="4" t="n">
        <v>3</v>
      </c>
      <c r="C14" s="4">
        <f>COUNTIF('3.9 รายการของที่ต้องซื้อ'!E:E,"ผ่าน")</f>
        <v/>
      </c>
      <c r="D14" s="4">
        <f>COUNTIF('3.9 รายการของที่ต้องซื้อ'!E:E,"ไม่ผ่าน")</f>
        <v/>
      </c>
      <c r="E14" s="4">
        <f>3-COUNTIF('3.9 รายการของที่ต้องซื้อ'!E:E,"ผ่าน")-COUNTIF('3.9 รายการของที่ต้องซื้อ'!E:E,"ไม่ผ่าน")</f>
        <v/>
      </c>
    </row>
    <row r="15">
      <c r="A15" s="4" t="inlineStr">
        <is>
          <t>3.10 ข้อมูลลูกค้า (CRM)</t>
        </is>
      </c>
      <c r="B15" s="4" t="n">
        <v>4</v>
      </c>
      <c r="C15" s="4">
        <f>COUNTIF('3.10 ข้อมูลลูกค้า (CRM)'!E:E,"ผ่าน")</f>
        <v/>
      </c>
      <c r="D15" s="4">
        <f>COUNTIF('3.10 ข้อมูลลูกค้า (CRM)'!E:E,"ไม่ผ่าน")</f>
        <v/>
      </c>
      <c r="E15" s="4">
        <f>4-COUNTIF('3.10 ข้อมูลลูกค้า (CRM)'!E:E,"ผ่าน")-COUNTIF('3.10 ข้อมูลลูกค้า (CRM)'!E:E,"ไม่ผ่าน")</f>
        <v/>
      </c>
    </row>
    <row r="16">
      <c r="A16" s="4" t="inlineStr">
        <is>
          <t>3.11 รายงานและแดชบอร์ด</t>
        </is>
      </c>
      <c r="B16" s="4" t="n">
        <v>10</v>
      </c>
      <c r="C16" s="4">
        <f>COUNTIF('3.11 รายงานและแดชบอร์ด'!E:E,"ผ่าน")</f>
        <v/>
      </c>
      <c r="D16" s="4">
        <f>COUNTIF('3.11 รายงานและแดชบอร์ด'!E:E,"ไม่ผ่าน")</f>
        <v/>
      </c>
      <c r="E16" s="4">
        <f>10-COUNTIF('3.11 รายงานและแดชบอร์ด'!E:E,"ผ่าน")-COUNTIF('3.11 รายงานและแดชบอร์ด'!E:E,"ไม่ผ่าน")</f>
        <v/>
      </c>
    </row>
    <row r="17">
      <c r="A17" s="4" t="inlineStr">
        <is>
          <t>ข้อ 4 ข้อกำหนดทางเทคนิค</t>
        </is>
      </c>
      <c r="B17" s="4" t="n">
        <v>4</v>
      </c>
      <c r="C17" s="4">
        <f>COUNTIF('ข้อ 4 ข้อกำหนดทางเทคนิค'!E:E,"ผ่าน")</f>
        <v/>
      </c>
      <c r="D17" s="4">
        <f>COUNTIF('ข้อ 4 ข้อกำหนดทางเทคนิค'!E:E,"ไม่ผ่าน")</f>
        <v/>
      </c>
      <c r="E17" s="4">
        <f>4-COUNTIF('ข้อ 4 ข้อกำหนดทางเทคนิค'!E:E,"ผ่าน")-COUNTIF('ข้อ 4 ข้อกำหนดทางเทคนิค'!E:E,"ไม่ผ่าน")</f>
        <v/>
      </c>
    </row>
    <row r="20">
      <c r="A20" t="inlineStr">
        <is>
          <t>ผลการตรวจรับ:  [  ] ผ่านการตรวจรับ    [  ] ไม่ผ่านการตรวจรับ</t>
        </is>
      </c>
    </row>
    <row r="23">
      <c r="A23" t="inlineStr">
        <is>
          <t>ลงชื่อ ____________________ (ผู้ว่าจ้าง)</t>
        </is>
      </c>
      <c r="D23" t="inlineStr">
        <is>
          <t>ลงชื่อ ____________________ (ผู้รับจ้าง)</t>
        </is>
      </c>
    </row>
    <row r="25">
      <c r="A25" t="inlineStr">
        <is>
          <t>ชื่อ-สกุล ____________________</t>
        </is>
      </c>
      <c r="D25" t="inlineStr">
        <is>
          <t>ชื่อ-สกุล ____________________</t>
        </is>
      </c>
    </row>
    <row r="27">
      <c r="A27" t="inlineStr">
        <is>
          <t>วันที่ ____________________</t>
        </is>
      </c>
      <c r="D27" t="inlineStr">
        <is>
          <t>วันที่ ____________________</t>
        </is>
      </c>
    </row>
  </sheetData>
  <mergeCells count="1"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3.1 ผู้ใช้และสิทธิ์</t>
        </is>
      </c>
    </row>
    <row r="2">
      <c r="A2" t="inlineStr">
        <is>
          <t>อ้างอิง: TOR ข้อ 3.1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UAT-AUTH-01</t>
        </is>
      </c>
      <c r="B5" s="5" t="inlineStr">
        <is>
          <t>เข้าสู่ระบบด้วย PIN ที่ถูกต้อง</t>
        </is>
      </c>
      <c r="C5" s="5" t="inlineStr">
        <is>
          <t>1. เปิดแอป
2. กรอก PIN ของพนักงานที่มีอยู่
3. กดเข้าสู่ระบบ</t>
        </is>
      </c>
      <c r="D5" s="5" t="inlineStr">
        <is>
          <t>เข้าสู่ระบบสำเร็จ แสดงชื่อและบทบาทของพนักงาน</t>
        </is>
      </c>
      <c r="E5" s="5" t="inlineStr"/>
      <c r="F5" s="5" t="inlineStr"/>
      <c r="G5" s="5" t="inlineStr"/>
      <c r="H5" s="5" t="inlineStr"/>
    </row>
    <row r="6">
      <c r="A6" s="5" t="inlineStr">
        <is>
          <t>UAT-AUTH-02</t>
        </is>
      </c>
      <c r="B6" s="5" t="inlineStr">
        <is>
          <t>เข้าสู่ระบบด้วย PIN ผิด</t>
        </is>
      </c>
      <c r="C6" s="5" t="inlineStr">
        <is>
          <t>1. กรอก PIN ที่ไม่ถูกต้อง
2. กดเข้าสู่ระบบ</t>
        </is>
      </c>
      <c r="D6" s="5" t="inlineStr">
        <is>
          <t>ระบบปฏิเสธ แสดงข้อความแจ้งเตือน ไม่เข้าสู่ระบบ</t>
        </is>
      </c>
      <c r="E6" s="5" t="inlineStr"/>
      <c r="F6" s="5" t="inlineStr"/>
      <c r="G6" s="5" t="inlineStr"/>
      <c r="H6" s="5" t="inlineStr"/>
    </row>
    <row r="7">
      <c r="A7" s="5" t="inlineStr">
        <is>
          <t>UAT-AUTH-03</t>
        </is>
      </c>
      <c r="B7" s="5" t="inlineStr">
        <is>
          <t>อายุเซสชัน 8 ชั่วโมง (1 กะ)</t>
        </is>
      </c>
      <c r="C7" s="5" t="inlineStr">
        <is>
          <t>1. เข้าสู่ระบบ
2. ตรวจสอบอายุของเซสชัน/โทเคนที่ได้รับ</t>
        </is>
      </c>
      <c r="D7" s="5" t="inlineStr">
        <is>
          <t>เซสชันมีอายุ 8 ชั่วโมง เมื่อหมดอายุต้องเข้าสู่ระบบใหม่</t>
        </is>
      </c>
      <c r="E7" s="5" t="inlineStr"/>
      <c r="F7" s="5" t="inlineStr"/>
      <c r="G7" s="5" t="inlineStr"/>
      <c r="H7" s="5" t="inlineStr"/>
    </row>
    <row r="8">
      <c r="A8" s="5" t="inlineStr">
        <is>
          <t>UAT-AUTH-04</t>
        </is>
      </c>
      <c r="B8" s="5" t="inlineStr">
        <is>
          <t>เจ้าของ (Owner) เข้าถึงรายงานได้</t>
        </is>
      </c>
      <c r="C8" s="5" t="inlineStr">
        <is>
          <t>1. เข้าสู่ระบบด้วยบัญชี Owner
2. เปิดเมนูรายงานยอดขาย</t>
        </is>
      </c>
      <c r="D8" s="5" t="inlineStr">
        <is>
          <t>เปิดรายงานได้ครบทุกรายงาน</t>
        </is>
      </c>
      <c r="E8" s="5" t="inlineStr"/>
      <c r="F8" s="5" t="inlineStr"/>
      <c r="G8" s="5" t="inlineStr"/>
      <c r="H8" s="5" t="inlineStr"/>
    </row>
    <row r="9">
      <c r="A9" s="5" t="inlineStr">
        <is>
          <t>UAT-AUTH-05</t>
        </is>
      </c>
      <c r="B9" s="5" t="inlineStr">
        <is>
          <t>บาริสต้าไม่สามารถยกเลิกออเดอร์ได้</t>
        </is>
      </c>
      <c r="C9" s="5" t="inlineStr">
        <is>
          <t>1. เข้าสู่ระบบด้วยบัญชี Barista
2. พยายามยกเลิก (Void) ออเดอร์</t>
        </is>
      </c>
      <c r="D9" s="5" t="inlineStr">
        <is>
          <t>ระบบปฏิเสธ (เฉพาะผู้จัดการ/เจ้าของเท่านั้น)</t>
        </is>
      </c>
      <c r="E9" s="5" t="inlineStr"/>
      <c r="F9" s="5" t="inlineStr"/>
      <c r="G9" s="5" t="inlineStr"/>
      <c r="H9" s="5" t="inlineStr"/>
    </row>
    <row r="10">
      <c r="A10" s="5" t="inlineStr">
        <is>
          <t>UAT-AUTH-06</t>
        </is>
      </c>
      <c r="B10" s="5" t="inlineStr">
        <is>
          <t>บาริสต้าไม่สามารถจัดการบัญชีพนักงานได้</t>
        </is>
      </c>
      <c r="C10" s="5" t="inlineStr">
        <is>
          <t>1. เข้าสู่ระบบด้วยบัญชี Barista
2. พยายามเปิดหน้าจัดการพนักงาน</t>
        </is>
      </c>
      <c r="D10" s="5" t="inlineStr">
        <is>
          <t>ระบบปฏิเสธการเข้าถึง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UAT-AUTH-07</t>
        </is>
      </c>
      <c r="B11" s="5" t="inlineStr">
        <is>
          <t>เบเกอร์มีสิทธิ์เทียบเท่าบาริสต้า</t>
        </is>
      </c>
      <c r="C11" s="5" t="inlineStr">
        <is>
          <t>1. เข้าสู่ระบบด้วยบัญชี Baker
2. รับออเดอร์ 1 รายการ
3. เปิดหน้าการผลิต</t>
        </is>
      </c>
      <c r="D11" s="5" t="inlineStr">
        <is>
          <t>ทำรายการได้เช่นเดียวกับบาริสต้า และเข้าถึงงานผลิตได้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UAT-AUTH-08</t>
        </is>
      </c>
      <c r="B12" s="5" t="inlineStr">
        <is>
          <t>พนักงานที่ถูกปิดการใช้งานเข้าสู่ระบบไม่ได้</t>
        </is>
      </c>
      <c r="C12" s="5" t="inlineStr">
        <is>
          <t>1. ผู้จัดการปิดการใช้งานบัญชีพนักงาน
2. พนักงานคนดังกล่าวพยายามเข้าสู่ระบบ</t>
        </is>
      </c>
      <c r="D12" s="5" t="inlineStr">
        <is>
          <t>เข้าสู่ระบบไม่ได้</t>
        </is>
      </c>
      <c r="E12" s="5" t="inlineStr"/>
      <c r="F12" s="5" t="inlineStr"/>
      <c r="G12" s="5" t="inlineStr"/>
      <c r="H12" s="5" t="inlineStr"/>
    </row>
  </sheetData>
  <dataValidations count="1">
    <dataValidation sqref="E5 E6 E7 E8 E9 E10 E11 E12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3.2 บุคลากรและการลา</t>
        </is>
      </c>
    </row>
    <row r="2">
      <c r="A2" t="inlineStr">
        <is>
          <t>อ้างอิง: TOR ข้อ 3.2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UAT-HR-01</t>
        </is>
      </c>
      <c r="B5" s="5" t="inlineStr">
        <is>
          <t>สร้างบัญชีพนักงานพร้อมข้อมูลครบถ้วน</t>
        </is>
      </c>
      <c r="C5" s="5" t="inlineStr">
        <is>
          <t>1. เข้าสู่ระบบเป็นผู้จัดการ
2. สร้างพนักงานใหม่: ชื่อ, PIN, บทบาท, ตำแหน่ง, เบอร์โทร, อีเมล, ที่อยู่
3. บันทึก</t>
        </is>
      </c>
      <c r="D5" s="5" t="inlineStr">
        <is>
          <t>สร้างสำเร็จ ข้อมูลแสดงครบทุกช่อง</t>
        </is>
      </c>
      <c r="E5" s="5" t="inlineStr"/>
      <c r="F5" s="5" t="inlineStr"/>
      <c r="G5" s="5" t="inlineStr"/>
      <c r="H5" s="5" t="inlineStr"/>
    </row>
    <row r="6">
      <c r="A6" s="5" t="inlineStr">
        <is>
          <t>UAT-HR-02</t>
        </is>
      </c>
      <c r="B6" s="5" t="inlineStr">
        <is>
          <t>แก้ไขข้อมูลพนักงาน</t>
        </is>
      </c>
      <c r="C6" s="5" t="inlineStr">
        <is>
          <t>1. เปิดข้อมูลพนักงานที่มีอยู่
2. แก้ไขเบอร์โทรและตำแหน่ง
3. บันทึก</t>
        </is>
      </c>
      <c r="D6" s="5" t="inlineStr">
        <is>
          <t>ข้อมูลอัปเดตถูกต้อง</t>
        </is>
      </c>
      <c r="E6" s="5" t="inlineStr"/>
      <c r="F6" s="5" t="inlineStr"/>
      <c r="G6" s="5" t="inlineStr"/>
      <c r="H6" s="5" t="inlineStr"/>
    </row>
    <row r="7">
      <c r="A7" s="5" t="inlineStr">
        <is>
          <t>UAT-HR-03</t>
        </is>
      </c>
      <c r="B7" s="5" t="inlineStr">
        <is>
          <t>ปิดการใช้งานบัญชีพนักงาน</t>
        </is>
      </c>
      <c r="C7" s="5" t="inlineStr">
        <is>
          <t>1. เลือกพนักงาน
2. ปิดการใช้งานบัญชี</t>
        </is>
      </c>
      <c r="D7" s="5" t="inlineStr">
        <is>
          <t>บัญชีถูกปิด พนักงานเข้าสู่ระบบไม่ได้ ข้อมูลเดิมยังคงอยู่</t>
        </is>
      </c>
      <c r="E7" s="5" t="inlineStr"/>
      <c r="F7" s="5" t="inlineStr"/>
      <c r="G7" s="5" t="inlineStr"/>
      <c r="H7" s="5" t="inlineStr"/>
    </row>
    <row r="8">
      <c r="A8" s="5" t="inlineStr">
        <is>
          <t>UAT-HR-04</t>
        </is>
      </c>
      <c r="B8" s="5" t="inlineStr">
        <is>
          <t>ป้องกันเบอร์โทรซ้ำในสาขาเดียวกัน</t>
        </is>
      </c>
      <c r="C8" s="5" t="inlineStr">
        <is>
          <t>1. สร้างพนักงานใหม่ด้วยเบอร์โทรที่มีอยู่แล้วในสาขา</t>
        </is>
      </c>
      <c r="D8" s="5" t="inlineStr">
        <is>
          <t>ระบบปฏิเสธ แจ้งว่าเบอร์โทรซ้ำ</t>
        </is>
      </c>
      <c r="E8" s="5" t="inlineStr"/>
      <c r="F8" s="5" t="inlineStr"/>
      <c r="G8" s="5" t="inlineStr"/>
      <c r="H8" s="5" t="inlineStr"/>
    </row>
    <row r="9">
      <c r="A9" s="5" t="inlineStr">
        <is>
          <t>UAT-HR-05</t>
        </is>
      </c>
      <c r="B9" s="5" t="inlineStr">
        <is>
          <t>ป้องกันอีเมลซ้ำในสาขาเดียวกัน</t>
        </is>
      </c>
      <c r="C9" s="5" t="inlineStr">
        <is>
          <t>1. สร้างพนักงานใหม่ด้วยอีเมลที่มีอยู่แล้วในสาขา</t>
        </is>
      </c>
      <c r="D9" s="5" t="inlineStr">
        <is>
          <t>ระบบปฏิเสธ แจ้งว่าอีเมลซ้ำ</t>
        </is>
      </c>
      <c r="E9" s="5" t="inlineStr"/>
      <c r="F9" s="5" t="inlineStr"/>
      <c r="G9" s="5" t="inlineStr"/>
      <c r="H9" s="5" t="inlineStr"/>
    </row>
    <row r="10">
      <c r="A10" s="5" t="inlineStr">
        <is>
          <t>UAT-HR-06</t>
        </is>
      </c>
      <c r="B10" s="5" t="inlineStr">
        <is>
          <t>พนักงานยื่นคำขอลา</t>
        </is>
      </c>
      <c r="C10" s="5" t="inlineStr">
        <is>
          <t>1. เข้าสู่ระบบเป็นพนักงาน
2. ยื่นคำขอลา ระบุประเภท (พักร้อน/ป่วย/กิจ/อื่นๆ) และช่วงวันที่</t>
        </is>
      </c>
      <c r="D10" s="5" t="inlineStr">
        <is>
          <t>คำขอถูกบันทึก สถานะ 'รออนุมัติ'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UAT-HR-07</t>
        </is>
      </c>
      <c r="B11" s="5" t="inlineStr">
        <is>
          <t>ผู้จัดการอนุมัติคำขอลา</t>
        </is>
      </c>
      <c r="C11" s="5" t="inlineStr">
        <is>
          <t>1. เข้าสู่ระบบเป็นผู้จัดการ
2. เปิดคำขอลาที่รออนุมัติ
3. กดอนุมัติ</t>
        </is>
      </c>
      <c r="D11" s="5" t="inlineStr">
        <is>
          <t>สถานะเปลี่ยนเป็น 'อนุมัติ' และบันทึกประวัติ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UAT-HR-08</t>
        </is>
      </c>
      <c r="B12" s="5" t="inlineStr">
        <is>
          <t>ผู้จัดการปฏิเสธคำขอลา</t>
        </is>
      </c>
      <c r="C12" s="5" t="inlineStr">
        <is>
          <t>1. เปิดคำขอลาที่รออนุมัติ
2. กดปฏิเสธ</t>
        </is>
      </c>
      <c r="D12" s="5" t="inlineStr">
        <is>
          <t>สถานะเปลี่ยนเป็น 'ปฏิเสธ' และบันทึกประวัติ</t>
        </is>
      </c>
      <c r="E12" s="5" t="inlineStr"/>
      <c r="F12" s="5" t="inlineStr"/>
      <c r="G12" s="5" t="inlineStr"/>
      <c r="H12" s="5" t="inlineStr"/>
    </row>
    <row r="13">
      <c r="A13" s="5" t="inlineStr">
        <is>
          <t>UAT-HR-09</t>
        </is>
      </c>
      <c r="B13" s="5" t="inlineStr">
        <is>
          <t>ดูประวัติการลาย้อนหลัง</t>
        </is>
      </c>
      <c r="C13" s="5" t="inlineStr">
        <is>
          <t>1. เปิดหน้าประวัติการลาของพนักงาน</t>
        </is>
      </c>
      <c r="D13" s="5" t="inlineStr">
        <is>
          <t>เห็นรายการลาทั้งหมดพร้อมสถานะ</t>
        </is>
      </c>
      <c r="E13" s="5" t="inlineStr"/>
      <c r="F13" s="5" t="inlineStr"/>
      <c r="G13" s="5" t="inlineStr"/>
      <c r="H13" s="5" t="inlineStr"/>
    </row>
  </sheetData>
  <dataValidations count="1">
    <dataValidation sqref="E5 E6 E7 E8 E9 E10 E11 E12 E13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3.3 กะงานและงานพนักงาน</t>
        </is>
      </c>
    </row>
    <row r="2">
      <c r="A2" t="inlineStr">
        <is>
          <t>อ้างอิง: TOR ข้อ 3.3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UAT-SHF-01</t>
        </is>
      </c>
      <c r="B5" s="5" t="inlineStr">
        <is>
          <t>กำหนดกะทำงานให้พนักงาน</t>
        </is>
      </c>
      <c r="C5" s="5" t="inlineStr">
        <is>
          <t>1. เข้าสู่ระบบเป็นผู้จัดการ
2. สร้างกะ: เลือกพนักงาน วันเวลาเริ่ม-เลิกงาน
3. บันทึก</t>
        </is>
      </c>
      <c r="D5" s="5" t="inlineStr">
        <is>
          <t>กะถูกบันทึกและแสดงในตาราง</t>
        </is>
      </c>
      <c r="E5" s="5" t="inlineStr"/>
      <c r="F5" s="5" t="inlineStr"/>
      <c r="G5" s="5" t="inlineStr"/>
      <c r="H5" s="5" t="inlineStr"/>
    </row>
    <row r="6">
      <c r="A6" s="5" t="inlineStr">
        <is>
          <t>UAT-SHF-02</t>
        </is>
      </c>
      <c r="B6" s="5" t="inlineStr">
        <is>
          <t>กรองดูตารางกะเป็นรายสัปดาห์</t>
        </is>
      </c>
      <c r="C6" s="5" t="inlineStr">
        <is>
          <t>1. เปิดตารางกะ
2. เลือกช่วงสัปดาห์</t>
        </is>
      </c>
      <c r="D6" s="5" t="inlineStr">
        <is>
          <t>แสดงเฉพาะกะในสัปดาห์ที่เลือก</t>
        </is>
      </c>
      <c r="E6" s="5" t="inlineStr"/>
      <c r="F6" s="5" t="inlineStr"/>
      <c r="G6" s="5" t="inlineStr"/>
      <c r="H6" s="5" t="inlineStr"/>
    </row>
    <row r="7">
      <c r="A7" s="5" t="inlineStr">
        <is>
          <t>UAT-SHF-03</t>
        </is>
      </c>
      <c r="B7" s="5" t="inlineStr">
        <is>
          <t>แก้ไข/ลบกะทำงาน</t>
        </is>
      </c>
      <c r="C7" s="5" t="inlineStr">
        <is>
          <t>1. เลือกกะที่มีอยู่
2. เปลี่ยนเวลา แล้วบันทึก
3. ลบกะอีกรายการหนึ่ง</t>
        </is>
      </c>
      <c r="D7" s="5" t="inlineStr">
        <is>
          <t>การแก้ไขและการลบมีผลถูกต้อง</t>
        </is>
      </c>
      <c r="E7" s="5" t="inlineStr"/>
      <c r="F7" s="5" t="inlineStr"/>
      <c r="G7" s="5" t="inlineStr"/>
      <c r="H7" s="5" t="inlineStr"/>
    </row>
    <row r="8">
      <c r="A8" s="5" t="inlineStr">
        <is>
          <t>UAT-SHF-04</t>
        </is>
      </c>
      <c r="B8" s="5" t="inlineStr">
        <is>
          <t>ผู้จัดการสร้างและมอบหมายงาน</t>
        </is>
      </c>
      <c r="C8" s="5" t="inlineStr">
        <is>
          <t>1. สร้างงานใหม่ ระบุรายละเอียดและผู้รับผิดชอบ</t>
        </is>
      </c>
      <c r="D8" s="5" t="inlineStr">
        <is>
          <t>งานแสดงในรายการของพนักงาน สถานะ 'รอดำเนินการ'</t>
        </is>
      </c>
      <c r="E8" s="5" t="inlineStr"/>
      <c r="F8" s="5" t="inlineStr"/>
      <c r="G8" s="5" t="inlineStr"/>
      <c r="H8" s="5" t="inlineStr"/>
    </row>
    <row r="9">
      <c r="A9" s="5" t="inlineStr">
        <is>
          <t>UAT-SHF-05</t>
        </is>
      </c>
      <c r="B9" s="5" t="inlineStr">
        <is>
          <t>สถานะงานครบวงจร</t>
        </is>
      </c>
      <c r="C9" s="5" t="inlineStr">
        <is>
          <t>1. พนักงานเปลี่ยนสถานะงาน: รอดำเนินการ → กำลังดำเนินการ → รอการตรวจสอบ
2. ผู้จัดการตรวจและปิดงานเป็น 'เสร็จสิ้น'</t>
        </is>
      </c>
      <c r="D9" s="5" t="inlineStr">
        <is>
          <t>สถานะเปลี่ยนตามลำดับและบันทึกถูกต้อง</t>
        </is>
      </c>
      <c r="E9" s="5" t="inlineStr"/>
      <c r="F9" s="5" t="inlineStr"/>
      <c r="G9" s="5" t="inlineStr"/>
      <c r="H9" s="5" t="inlineStr"/>
    </row>
  </sheetData>
  <dataValidations count="1">
    <dataValidation sqref="E5 E6 E7 E8 E9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3.4 การจัดการเงินสด</t>
        </is>
      </c>
    </row>
    <row r="2">
      <c r="A2" t="inlineStr">
        <is>
          <t>อ้างอิง: TOR ข้อ 3.4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UAT-CSH-01</t>
        </is>
      </c>
      <c r="B5" s="5" t="inlineStr">
        <is>
          <t>ผู้จัดการเปิดเซสชันเงินสด (เปิดลิ้นชัก)</t>
        </is>
      </c>
      <c r="C5" s="5" t="inlineStr">
        <is>
          <t>1. เข้าสู่ระบบเป็นผู้จัดการ
2. เปิดเซสชันเงินสด กรอกยอดเงินเปิด</t>
        </is>
      </c>
      <c r="D5" s="5" t="inlineStr">
        <is>
          <t>เซสชันเปิดสำเร็จ บันทึกยอดเงินเปิดและเวลา</t>
        </is>
      </c>
      <c r="E5" s="5" t="inlineStr"/>
      <c r="F5" s="5" t="inlineStr"/>
      <c r="G5" s="5" t="inlineStr"/>
      <c r="H5" s="5" t="inlineStr"/>
    </row>
    <row r="6">
      <c r="A6" s="5" t="inlineStr">
        <is>
          <t>UAT-CSH-02</t>
        </is>
      </c>
      <c r="B6" s="5" t="inlineStr">
        <is>
          <t>ปิดเซสชันเงินสด (ปิดลิ้นชัก)</t>
        </is>
      </c>
      <c r="C6" s="5" t="inlineStr">
        <is>
          <t>1. เปิดเซสชันที่ค้างอยู่
2. กรอกยอดเงินปิด แล้วปิดเซสชัน</t>
        </is>
      </c>
      <c r="D6" s="5" t="inlineStr">
        <is>
          <t>เซสชันปิดสำเร็จ บันทึกยอดเงินปิดและเวลา</t>
        </is>
      </c>
      <c r="E6" s="5" t="inlineStr"/>
      <c r="F6" s="5" t="inlineStr"/>
      <c r="G6" s="5" t="inlineStr"/>
      <c r="H6" s="5" t="inlineStr"/>
    </row>
    <row r="7">
      <c r="A7" s="5" t="inlineStr">
        <is>
          <t>UAT-CSH-03</t>
        </is>
      </c>
      <c r="B7" s="5" t="inlineStr">
        <is>
          <t>บาริสต้าไม่สามารถเปิด/ปิดลิ้นชักได้</t>
        </is>
      </c>
      <c r="C7" s="5" t="inlineStr">
        <is>
          <t>1. เข้าสู่ระบบเป็นบาริสต้า
2. พยายามเปิดเซสชันเงินสด</t>
        </is>
      </c>
      <c r="D7" s="5" t="inlineStr">
        <is>
          <t>ระบบปฏิเสธ</t>
        </is>
      </c>
      <c r="E7" s="5" t="inlineStr"/>
      <c r="F7" s="5" t="inlineStr"/>
      <c r="G7" s="5" t="inlineStr"/>
      <c r="H7" s="5" t="inlineStr"/>
    </row>
    <row r="8">
      <c r="A8" s="5" t="inlineStr">
        <is>
          <t>UAT-CSH-04</t>
        </is>
      </c>
      <c r="B8" s="5" t="inlineStr">
        <is>
          <t>ดูประวัติเซสชันเงินสดย้อนหลัง</t>
        </is>
      </c>
      <c r="C8" s="5" t="inlineStr">
        <is>
          <t>1. เปิดรายการเซสชันเงินสด</t>
        </is>
      </c>
      <c r="D8" s="5" t="inlineStr">
        <is>
          <t>เห็นยอดเงินเปิด-ปิดของแต่ละวัน/กะ</t>
        </is>
      </c>
      <c r="E8" s="5" t="inlineStr"/>
      <c r="F8" s="5" t="inlineStr"/>
      <c r="G8" s="5" t="inlineStr"/>
      <c r="H8" s="5" t="inlineStr"/>
    </row>
  </sheetData>
  <dataValidations count="1">
    <dataValidation sqref="E5 E6 E7 E8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3.5 เมนูและสูตรวัตถุดิบ</t>
        </is>
      </c>
    </row>
    <row r="2">
      <c r="A2" t="inlineStr">
        <is>
          <t>อ้างอิง: TOR ข้อ 3.5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UAT-MNU-01</t>
        </is>
      </c>
      <c r="B5" s="5" t="inlineStr">
        <is>
          <t>สร้างหมวดหมู่สินค้า</t>
        </is>
      </c>
      <c r="C5" s="5" t="inlineStr">
        <is>
          <t>1. เข้าสู่ระบบเป็นผู้จัดการ
2. สร้างหมวดหมู่ใหม่
3. บันทึก</t>
        </is>
      </c>
      <c r="D5" s="5" t="inlineStr">
        <is>
          <t>หมวดหมู่แสดงในรายการ</t>
        </is>
      </c>
      <c r="E5" s="5" t="inlineStr"/>
      <c r="F5" s="5" t="inlineStr"/>
      <c r="G5" s="5" t="inlineStr"/>
      <c r="H5" s="5" t="inlineStr"/>
    </row>
    <row r="6">
      <c r="A6" s="5" t="inlineStr">
        <is>
          <t>UAT-MNU-02</t>
        </is>
      </c>
      <c r="B6" s="5" t="inlineStr">
        <is>
          <t>สร้างสินค้าพร้อมรายละเอียดครบ</t>
        </is>
      </c>
      <c r="C6" s="5" t="inlineStr">
        <is>
          <t>1. สร้างสินค้า: ชื่อ, คำอธิบาย, ราคา, หมวดหมู่, สถานะจำหน่าย</t>
        </is>
      </c>
      <c r="D6" s="5" t="inlineStr">
        <is>
          <t>สินค้าแสดงในเมนูพร้อมราคาถูกต้อง</t>
        </is>
      </c>
      <c r="E6" s="5" t="inlineStr"/>
      <c r="F6" s="5" t="inlineStr"/>
      <c r="G6" s="5" t="inlineStr"/>
      <c r="H6" s="5" t="inlineStr"/>
    </row>
    <row r="7">
      <c r="A7" s="5" t="inlineStr">
        <is>
          <t>UAT-MNU-03</t>
        </is>
      </c>
      <c r="B7" s="5" t="inlineStr">
        <is>
          <t>ปิดการจำหน่ายสินค้า</t>
        </is>
      </c>
      <c r="C7" s="5" t="inlineStr">
        <is>
          <t>1. แก้ไขสินค้า เปลี่ยนสถานะเป็นไม่จำหน่าย</t>
        </is>
      </c>
      <c r="D7" s="5" t="inlineStr">
        <is>
          <t>สินค้าไม่ปรากฏ/สั่งไม่ได้ในหน้ารับออเดอร์</t>
        </is>
      </c>
      <c r="E7" s="5" t="inlineStr"/>
      <c r="F7" s="5" t="inlineStr"/>
      <c r="G7" s="5" t="inlineStr"/>
      <c r="H7" s="5" t="inlineStr"/>
    </row>
    <row r="8">
      <c r="A8" s="5" t="inlineStr">
        <is>
          <t>UAT-MNU-04</t>
        </is>
      </c>
      <c r="B8" s="5" t="inlineStr">
        <is>
          <t>ผูกสูตรวัตถุดิบเข้ากับสินค้า</t>
        </is>
      </c>
      <c r="C8" s="5" t="inlineStr">
        <is>
          <t>1. เปิดสินค้า
2. เพิ่มรายการวัตถุดิบและปริมาณที่ใช้ต่อ 1 หน่วยขาย
3. บันทึก</t>
        </is>
      </c>
      <c r="D8" s="5" t="inlineStr">
        <is>
          <t>สูตรถูกบันทึกครบทุกรายการ</t>
        </is>
      </c>
      <c r="E8" s="5" t="inlineStr"/>
      <c r="F8" s="5" t="inlineStr"/>
      <c r="G8" s="5" t="inlineStr"/>
      <c r="H8" s="5" t="inlineStr"/>
    </row>
    <row r="9">
      <c r="A9" s="5" t="inlineStr">
        <is>
          <t>UAT-MNU-05</t>
        </is>
      </c>
      <c r="B9" s="5" t="inlineStr">
        <is>
          <t>ขายแล้วตัดสต็อกตามสูตร</t>
        </is>
      </c>
      <c r="C9" s="5" t="inlineStr">
        <is>
          <t>1. จดยอดสต็อกวัตถุดิบก่อนขาย
2. ขายสินค้าที่มีสูตร 1 รายการ
3. ตรวจสอบสต็อกหลังขาย</t>
        </is>
      </c>
      <c r="D9" s="5" t="inlineStr">
        <is>
          <t>สต็อกวัตถุดิบลดลงตามปริมาณในสูตรพอดี</t>
        </is>
      </c>
      <c r="E9" s="5" t="inlineStr"/>
      <c r="F9" s="5" t="inlineStr"/>
      <c r="G9" s="5" t="inlineStr"/>
      <c r="H9" s="5" t="inlineStr"/>
    </row>
    <row r="10">
      <c r="A10" s="5" t="inlineStr">
        <is>
          <t>UAT-MNU-06</t>
        </is>
      </c>
      <c r="B10" s="5" t="inlineStr">
        <is>
          <t>สร้างกลุ่มตัวเลือก (Modifiers) พร้อมราคาเพิ่ม</t>
        </is>
      </c>
      <c r="C10" s="5" t="inlineStr">
        <is>
          <t>1. สร้างกลุ่มตัวเลือก เช่น ขนาด/ความหวาน/ท็อปปิ้ง
2. เพิ่มตัวเลือกพร้อมราคาบวกเพิ่ม
3. ผูกกลุ่มกับสินค้า</t>
        </is>
      </c>
      <c r="D10" s="5" t="inlineStr">
        <is>
          <t>ตัวเลือกแสดงตอนสั่งสินค้าและบวกราคาถูกต้อง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UAT-MNU-07</t>
        </is>
      </c>
      <c r="B11" s="5" t="inlineStr">
        <is>
          <t>บังคับเลือกตัวเลือกที่จำเป็น</t>
        </is>
      </c>
      <c r="C11" s="5" t="inlineStr">
        <is>
          <t>1. ตั้งค่ากลุ่มตัวเลือกเป็น 'บังคับเลือก'
2. สั่งสินค้าโดยไม่เลือกตัวเลือก</t>
        </is>
      </c>
      <c r="D11" s="5" t="inlineStr">
        <is>
          <t>ระบบไม่ให้ยืนยันออเดอร์จนกว่าจะเลือก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UAT-MNU-08</t>
        </is>
      </c>
      <c r="B12" s="5" t="inlineStr">
        <is>
          <t>แก้ไขราคาสินค้า</t>
        </is>
      </c>
      <c r="C12" s="5" t="inlineStr">
        <is>
          <t>1. แก้ไขราคาสินค้า
2. สั่งสินค้านั้นใหม่</t>
        </is>
      </c>
      <c r="D12" s="5" t="inlineStr">
        <is>
          <t>ออเดอร์ใหม่ใช้ราคาที่แก้ไขแล้ว ออเดอร์เก่าไม่เปลี่ยน</t>
        </is>
      </c>
      <c r="E12" s="5" t="inlineStr"/>
      <c r="F12" s="5" t="inlineStr"/>
      <c r="G12" s="5" t="inlineStr"/>
      <c r="H12" s="5" t="inlineStr"/>
    </row>
  </sheetData>
  <dataValidations count="1">
    <dataValidation sqref="E5 E6 E7 E8 E9 E10 E11 E12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3.6 คลังสินค้าและรับสินค้า</t>
        </is>
      </c>
    </row>
    <row r="2">
      <c r="A2" t="inlineStr">
        <is>
          <t>อ้างอิง: TOR ข้อ 3.6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UAT-INV-01</t>
        </is>
      </c>
      <c r="B5" s="5" t="inlineStr">
        <is>
          <t>ดูสต็อกคงเหลือปัจจุบัน</t>
        </is>
      </c>
      <c r="C5" s="5" t="inlineStr">
        <is>
          <t>1. เปิดหน้าคลังสินค้า</t>
        </is>
      </c>
      <c r="D5" s="5" t="inlineStr">
        <is>
          <t>เห็นรายการวัตถุดิบพร้อมจำนวนคงเหลือและหน่วย</t>
        </is>
      </c>
      <c r="E5" s="5" t="inlineStr"/>
      <c r="F5" s="5" t="inlineStr"/>
      <c r="G5" s="5" t="inlineStr"/>
      <c r="H5" s="5" t="inlineStr"/>
    </row>
    <row r="6">
      <c r="A6" s="5" t="inlineStr">
        <is>
          <t>UAT-INV-02</t>
        </is>
      </c>
      <c r="B6" s="5" t="inlineStr">
        <is>
          <t>ตั้งระดับขั้นต่ำ (Par Level) และแจ้งเตือนสต็อกต่ำ</t>
        </is>
      </c>
      <c r="C6" s="5" t="inlineStr">
        <is>
          <t>1. ตั้ง Par Level ของวัตถุดิบให้สูงกว่ายอดคงเหลือ
2. เปิดรายงาน/หน้าแจ้งเตือนสต็อกต่ำ</t>
        </is>
      </c>
      <c r="D6" s="5" t="inlineStr">
        <is>
          <t>วัตถุดิบรายการนั้นปรากฏในรายการสต็อกต่ำ</t>
        </is>
      </c>
      <c r="E6" s="5" t="inlineStr"/>
      <c r="F6" s="5" t="inlineStr"/>
      <c r="G6" s="5" t="inlineStr"/>
      <c r="H6" s="5" t="inlineStr"/>
    </row>
    <row r="7">
      <c r="A7" s="5" t="inlineStr">
        <is>
          <t>UAT-INV-03</t>
        </is>
      </c>
      <c r="B7" s="5" t="inlineStr">
        <is>
          <t>ยืนยันใบรับสินค้าแล้วสต็อกเพิ่ม</t>
        </is>
      </c>
      <c r="C7" s="5" t="inlineStr">
        <is>
          <t>1. สร้างใบรับสินค้า (Goods Receipt) ระบุรายการและจำนวน
2. ยืนยันใบรับ</t>
        </is>
      </c>
      <c r="D7" s="5" t="inlineStr">
        <is>
          <t>สต็อกเพิ่มขึ้นตามจำนวนที่รับ</t>
        </is>
      </c>
      <c r="E7" s="5" t="inlineStr"/>
      <c r="F7" s="5" t="inlineStr"/>
      <c r="G7" s="5" t="inlineStr"/>
      <c r="H7" s="5" t="inlineStr"/>
    </row>
    <row r="8">
      <c r="A8" s="5" t="inlineStr">
        <is>
          <t>UAT-INV-04</t>
        </is>
      </c>
      <c r="B8" s="5" t="inlineStr">
        <is>
          <t>บันทึกการรับสินค้าเป็นล็อต พร้อมวันหมดอายุและซัพพลายเออร์</t>
        </is>
      </c>
      <c r="C8" s="5" t="inlineStr">
        <is>
          <t>1. สร้างใบรับสินค้า ระบุวันหมดอายุและชื่อซัพพลายเออร์
2. ยืนยัน
3. เปิดดูรายละเอียดล็อต</t>
        </is>
      </c>
      <c r="D8" s="5" t="inlineStr">
        <is>
          <t>ล็อตแสดงวันหมดอายุและซัพพลายเออร์ถูกต้อง</t>
        </is>
      </c>
      <c r="E8" s="5" t="inlineStr"/>
      <c r="F8" s="5" t="inlineStr"/>
      <c r="G8" s="5" t="inlineStr"/>
      <c r="H8" s="5" t="inlineStr"/>
    </row>
    <row r="9">
      <c r="A9" s="5" t="inlineStr">
        <is>
          <t>UAT-INV-05</t>
        </is>
      </c>
      <c r="B9" s="5" t="inlineStr">
        <is>
          <t>บันทึกของเสีย (Waste) พร้อมเหตุผล</t>
        </is>
      </c>
      <c r="C9" s="5" t="inlineStr">
        <is>
          <t>1. บันทึกของเสีย เลือกวัตถุดิบ จำนวน และเหตุผล (หมดอายุ/หก/ทดลอง/เสียหาย/อื่นๆ)</t>
        </is>
      </c>
      <c r="D9" s="5" t="inlineStr">
        <is>
          <t>สต็อกลดลงและบันทึกเหตุผลไว้</t>
        </is>
      </c>
      <c r="E9" s="5" t="inlineStr"/>
      <c r="F9" s="5" t="inlineStr"/>
      <c r="G9" s="5" t="inlineStr"/>
      <c r="H9" s="5" t="inlineStr"/>
    </row>
    <row r="10">
      <c r="A10" s="5" t="inlineStr">
        <is>
          <t>UAT-INV-06</t>
        </is>
      </c>
      <c r="B10" s="5" t="inlineStr">
        <is>
          <t>ปรับปรุงยอดสต็อก (Adjustment) พร้อมเหตุผล</t>
        </is>
      </c>
      <c r="C10" s="5" t="inlineStr">
        <is>
          <t>1. ทำรายการปรับยอด ระบุจำนวนใหม่และเหตุผล</t>
        </is>
      </c>
      <c r="D10" s="5" t="inlineStr">
        <is>
          <t>ยอดคงเหลือเปลี่ยนตาม และมีประวัติการปรับยอด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UAT-INV-07</t>
        </is>
      </c>
      <c r="B11" s="5" t="inlineStr">
        <is>
          <t>ประวัติการเคลื่อนไหวสต็อกแก้ไขย้อนหลังไม่ได้</t>
        </is>
      </c>
      <c r="C11" s="5" t="inlineStr">
        <is>
          <t>1. เปิดประวัติการเคลื่อนไหวของวัตถุดิบ
2. ตรวจว่าการแก้ยอดทำได้ทางรายการปรับปรุงใหม่เท่านั้น</t>
        </is>
      </c>
      <c r="D11" s="5" t="inlineStr">
        <is>
          <t>รายการเดิมไม่ถูกลบ/แก้ การแก้ไขปรากฏเป็นรายการปรับยอดใหม่</t>
        </is>
      </c>
      <c r="E11" s="5" t="inlineStr"/>
      <c r="F11" s="5" t="inlineStr"/>
      <c r="G11" s="5" t="inlineStr"/>
      <c r="H11" s="5" t="inlineStr"/>
    </row>
  </sheetData>
  <dataValidations count="1">
    <dataValidation sqref="E5 E6 E7 E8 E9 E10 E11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3.7 คำสั่งซื้อและ KDS</t>
        </is>
      </c>
    </row>
    <row r="2">
      <c r="A2" t="inlineStr">
        <is>
          <t>อ้างอิง: TOR ข้อ 3.7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UAT-ORD-01</t>
        </is>
      </c>
      <c r="B5" s="5" t="inlineStr">
        <is>
          <t>รับออเดอร์ทานที่ร้านพร้อมตัวเลือก</t>
        </is>
      </c>
      <c r="C5" s="5" t="inlineStr">
        <is>
          <t>1. สร้างออเดอร์ Dine-in
2. เพิ่มสินค้าพร้อมตัวเลือก (เช่น ขนาด/ความหวาน)
3. ยืนยัน</t>
        </is>
      </c>
      <c r="D5" s="5" t="inlineStr">
        <is>
          <t>ออเดอร์ถูกสร้าง ราคารวมถูกต้อง (รวมราคาตัวเลือก)</t>
        </is>
      </c>
      <c r="E5" s="5" t="inlineStr"/>
      <c r="F5" s="5" t="inlineStr"/>
      <c r="G5" s="5" t="inlineStr"/>
      <c r="H5" s="5" t="inlineStr"/>
    </row>
    <row r="6">
      <c r="A6" s="5" t="inlineStr">
        <is>
          <t>UAT-ORD-02</t>
        </is>
      </c>
      <c r="B6" s="5" t="inlineStr">
        <is>
          <t>รับออเดอร์สั่งกลับ (Takeaway)</t>
        </is>
      </c>
      <c r="C6" s="5" t="inlineStr">
        <is>
          <t>1. สร้างออเดอร์ Takeaway
2. ยืนยัน</t>
        </is>
      </c>
      <c r="D6" s="5" t="inlineStr">
        <is>
          <t>ออเดอร์บันทึกประเภทช่องทางถูกต้อง</t>
        </is>
      </c>
      <c r="E6" s="5" t="inlineStr"/>
      <c r="F6" s="5" t="inlineStr"/>
      <c r="G6" s="5" t="inlineStr"/>
      <c r="H6" s="5" t="inlineStr"/>
    </row>
    <row r="7">
      <c r="A7" s="5" t="inlineStr">
        <is>
          <t>UAT-ORD-03</t>
        </is>
      </c>
      <c r="B7" s="5" t="inlineStr">
        <is>
          <t>ชำระด้วยเงินสด</t>
        </is>
      </c>
      <c r="C7" s="5" t="inlineStr">
        <is>
          <t>1. เปิดออเดอร์สถานะรอดำเนินการ
2. เลือกชำระเงินสด</t>
        </is>
      </c>
      <c r="D7" s="5" t="inlineStr">
        <is>
          <t>สถานะเปลี่ยนเป็น 'ชำระแล้ว' บันทึกวิธีชำระ</t>
        </is>
      </c>
      <c r="E7" s="5" t="inlineStr"/>
      <c r="F7" s="5" t="inlineStr"/>
      <c r="G7" s="5" t="inlineStr"/>
      <c r="H7" s="5" t="inlineStr"/>
    </row>
    <row r="8">
      <c r="A8" s="5" t="inlineStr">
        <is>
          <t>UAT-ORD-04</t>
        </is>
      </c>
      <c r="B8" s="5" t="inlineStr">
        <is>
          <t>ชำระด้วยบัตร</t>
        </is>
      </c>
      <c r="C8" s="5" t="inlineStr">
        <is>
          <t>1. ชำระออเดอร์ด้วยวิธี 'บัตร'</t>
        </is>
      </c>
      <c r="D8" s="5" t="inlineStr">
        <is>
          <t>สถานะเปลี่ยนเป็น 'ชำระแล้ว' บันทึกวิธีชำระ</t>
        </is>
      </c>
      <c r="E8" s="5" t="inlineStr"/>
      <c r="F8" s="5" t="inlineStr"/>
      <c r="G8" s="5" t="inlineStr"/>
      <c r="H8" s="5" t="inlineStr"/>
    </row>
    <row r="9">
      <c r="A9" s="5" t="inlineStr">
        <is>
          <t>UAT-ORD-05</t>
        </is>
      </c>
      <c r="B9" s="5" t="inlineStr">
        <is>
          <t>ชำระด้วย QR</t>
        </is>
      </c>
      <c r="C9" s="5" t="inlineStr">
        <is>
          <t>1. ชำระออเดอร์ด้วยวิธี 'QR'</t>
        </is>
      </c>
      <c r="D9" s="5" t="inlineStr">
        <is>
          <t>สถานะเปลี่ยนเป็น 'ชำระแล้ว' บันทึกวิธีชำระ</t>
        </is>
      </c>
      <c r="E9" s="5" t="inlineStr"/>
      <c r="F9" s="5" t="inlineStr"/>
      <c r="G9" s="5" t="inlineStr"/>
      <c r="H9" s="5" t="inlineStr"/>
    </row>
    <row r="10">
      <c r="A10" s="5" t="inlineStr">
        <is>
          <t>UAT-ORD-06</t>
        </is>
      </c>
      <c r="B10" s="5" t="inlineStr">
        <is>
          <t>สถานะออเดอร์ครบวงจร</t>
        </is>
      </c>
      <c r="C10" s="5" t="inlineStr">
        <is>
          <t>1. ไล่สถานะ: รอดำเนินการ → ชำระแล้ว → กำลังทำ → พร้อมส่ง → เสร็จสิ้น</t>
        </is>
      </c>
      <c r="D10" s="5" t="inlineStr">
        <is>
          <t>เปลี่ยนสถานะได้ตามลำดับ ย้อนกลับ/ข้ามลำดับไม่ได้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UAT-ORD-07</t>
        </is>
      </c>
      <c r="B11" s="5" t="inlineStr">
        <is>
          <t>ออเดอร์ใหม่ขึ้นจอครัว (KDS) ทันทีโดยไม่รีเฟรช</t>
        </is>
      </c>
      <c r="C11" s="5" t="inlineStr">
        <is>
          <t>1. เปิดจอ KDS ค้างไว้
2. สร้างออเดอร์ใหม่จากเครื่องอื่น</t>
        </is>
      </c>
      <c r="D11" s="5" t="inlineStr">
        <is>
          <t>ออเดอร์ปรากฏบน KDS ทันทีโดยไม่ต้องรีเฟรชหน้าจอ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UAT-ORD-08</t>
        </is>
      </c>
      <c r="B12" s="5" t="inlineStr">
        <is>
          <t>การเปลี่ยนสถานะสะท้อนบน KDS แบบเรียลไทม์</t>
        </is>
      </c>
      <c r="C12" s="5" t="inlineStr">
        <is>
          <t>1. เปลี่ยนสถานะออเดอร์จากเครื่องหนึ่ง
2. ดูจอ KDS อีกเครื่อง</t>
        </is>
      </c>
      <c r="D12" s="5" t="inlineStr">
        <is>
          <t>สถานะบน KDS อัปเดตทันที</t>
        </is>
      </c>
      <c r="E12" s="5" t="inlineStr"/>
      <c r="F12" s="5" t="inlineStr"/>
      <c r="G12" s="5" t="inlineStr"/>
      <c r="H12" s="5" t="inlineStr"/>
    </row>
    <row r="13">
      <c r="A13" s="5" t="inlineStr">
        <is>
          <t>UAT-ORD-09</t>
        </is>
      </c>
      <c r="B13" s="5" t="inlineStr">
        <is>
          <t>ผู้จัดการยกเลิกออเดอร์แล้วสต็อกคืนอัตโนมัติ</t>
        </is>
      </c>
      <c r="C13" s="5" t="inlineStr">
        <is>
          <t>1. จดสต็อกวัตถุดิบ
2. ผู้จัดการ Void ออเดอร์ที่ชำระแล้ว พร้อมเหตุผล
3. ตรวจสต็อกอีกครั้ง</t>
        </is>
      </c>
      <c r="D13" s="5" t="inlineStr">
        <is>
          <t>สถานะเป็น 'ยกเลิก' สต็อกคืนเท่าที่ตัดไป และมีบันทึกการยกเลิก</t>
        </is>
      </c>
      <c r="E13" s="5" t="inlineStr"/>
      <c r="F13" s="5" t="inlineStr"/>
      <c r="G13" s="5" t="inlineStr"/>
      <c r="H13" s="5" t="inlineStr"/>
    </row>
  </sheetData>
  <dataValidations count="1">
    <dataValidation sqref="E5 E6 E7 E8 E9 E10 E11 E12 E13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3.8 สั่งซื้อล่วงหน้า</t>
        </is>
      </c>
    </row>
    <row r="2">
      <c r="A2" t="inlineStr">
        <is>
          <t>อ้างอิง: TOR ข้อ 3.8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UAT-PRE-01</t>
        </is>
      </c>
      <c r="B5" s="5" t="inlineStr">
        <is>
          <t>สร้างพรีออเดอร์พร้อมชื่อลูกค้าและวันครบกำหนด</t>
        </is>
      </c>
      <c r="C5" s="5" t="inlineStr">
        <is>
          <t>1. สร้างพรีออเดอร์ ระบุลูกค้า วันครบกำหนด และรายการสินค้า</t>
        </is>
      </c>
      <c r="D5" s="5" t="inlineStr">
        <is>
          <t>พรีออเดอร์ถูกบันทึก สถานะ 'รอดำเนินการ'</t>
        </is>
      </c>
      <c r="E5" s="5" t="inlineStr"/>
      <c r="F5" s="5" t="inlineStr"/>
      <c r="G5" s="5" t="inlineStr"/>
      <c r="H5" s="5" t="inlineStr"/>
    </row>
    <row r="6">
      <c r="A6" s="5" t="inlineStr">
        <is>
          <t>UAT-PRE-02</t>
        </is>
      </c>
      <c r="B6" s="5" t="inlineStr">
        <is>
          <t>เพิ่ม/ลบรายการในพรีออเดอร์</t>
        </is>
      </c>
      <c r="C6" s="5" t="inlineStr">
        <is>
          <t>1. เปิดพรีออเดอร์
2. เพิ่มสินค้า 1 รายการ
3. ลบสินค้า 1 รายการ</t>
        </is>
      </c>
      <c r="D6" s="5" t="inlineStr">
        <is>
          <t>รายการและยอดรวมอัปเดตถูกต้อง</t>
        </is>
      </c>
      <c r="E6" s="5" t="inlineStr"/>
      <c r="F6" s="5" t="inlineStr"/>
      <c r="G6" s="5" t="inlineStr"/>
      <c r="H6" s="5" t="inlineStr"/>
    </row>
    <row r="7">
      <c r="A7" s="5" t="inlineStr">
        <is>
          <t>UAT-PRE-03</t>
        </is>
      </c>
      <c r="B7" s="5" t="inlineStr">
        <is>
          <t>ดูสรุปวัตถุดิบที่ต้องใช้</t>
        </is>
      </c>
      <c r="C7" s="5" t="inlineStr">
        <is>
          <t>1. เปิดหน้าสรุปวัตถุดิบ (Ingredients) ของพรีออเดอร์</t>
        </is>
      </c>
      <c r="D7" s="5" t="inlineStr">
        <is>
          <t>แสดงรายการวัตถุดิบรวมตามสูตรของสินค้าทั้งหมดในพรีออเดอร์</t>
        </is>
      </c>
      <c r="E7" s="5" t="inlineStr"/>
      <c r="F7" s="5" t="inlineStr"/>
      <c r="G7" s="5" t="inlineStr"/>
      <c r="H7" s="5" t="inlineStr"/>
    </row>
    <row r="8">
      <c r="A8" s="5" t="inlineStr">
        <is>
          <t>UAT-PRE-04</t>
        </is>
      </c>
      <c r="B8" s="5" t="inlineStr">
        <is>
          <t>เริ่มผลิตแล้วตัดสต็อก</t>
        </is>
      </c>
      <c r="C8" s="5" t="inlineStr">
        <is>
          <t>1. จดสต็อกวัตถุดิบ
2. กด 'เริ่มผลิต'
3. ตรวจสต็อก</t>
        </is>
      </c>
      <c r="D8" s="5" t="inlineStr">
        <is>
          <t>สถานะเป็น 'กำลังดำเนินการ' และสต็อกถูกตัดตามสูตร</t>
        </is>
      </c>
      <c r="E8" s="5" t="inlineStr"/>
      <c r="F8" s="5" t="inlineStr"/>
      <c r="G8" s="5" t="inlineStr"/>
      <c r="H8" s="5" t="inlineStr"/>
    </row>
    <row r="9">
      <c r="A9" s="5" t="inlineStr">
        <is>
          <t>UAT-PRE-05</t>
        </is>
      </c>
      <c r="B9" s="5" t="inlineStr">
        <is>
          <t>ปิดงานพรีออเดอร์</t>
        </is>
      </c>
      <c r="C9" s="5" t="inlineStr">
        <is>
          <t>1. กด 'เสร็จสิ้น' บนพรีออเดอร์ที่กำลังดำเนินการ</t>
        </is>
      </c>
      <c r="D9" s="5" t="inlineStr">
        <is>
          <t>สถานะเป็น 'เสร็จสิ้น'</t>
        </is>
      </c>
      <c r="E9" s="5" t="inlineStr"/>
      <c r="F9" s="5" t="inlineStr"/>
      <c r="G9" s="5" t="inlineStr"/>
      <c r="H9" s="5" t="inlineStr"/>
    </row>
    <row r="10">
      <c r="A10" s="5" t="inlineStr">
        <is>
          <t>UAT-PRE-06</t>
        </is>
      </c>
      <c r="B10" s="5" t="inlineStr">
        <is>
          <t>ยกเลิกก่อนเริ่มผลิต ไม่กระทบสต็อก</t>
        </is>
      </c>
      <c r="C10" s="5" t="inlineStr">
        <is>
          <t>1. สร้างพรีออเดอร์ใหม่
2. ยกเลิกทันทีก่อนเริ่มผลิต
3. ตรวจสต็อก</t>
        </is>
      </c>
      <c r="D10" s="5" t="inlineStr">
        <is>
          <t>สถานะเป็น 'ยกเลิก' สต็อกไม่เปลี่ยนแปลง</t>
        </is>
      </c>
      <c r="E10" s="5" t="inlineStr"/>
      <c r="F10" s="5" t="inlineStr"/>
      <c r="G10" s="5" t="inlineStr"/>
      <c r="H10" s="5" t="inlineStr"/>
    </row>
  </sheetData>
  <dataValidations count="1">
    <dataValidation sqref="E5 E6 E7 E8 E9 E10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3.9 รายการของที่ต้องซื้อ</t>
        </is>
      </c>
    </row>
    <row r="2">
      <c r="A2" t="inlineStr">
        <is>
          <t>อ้างอิง: TOR ข้อ 3.9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UAT-SHP-01</t>
        </is>
      </c>
      <c r="B5" s="5" t="inlineStr">
        <is>
          <t>เพิ่มวัตถุดิบในรายการที่ต้องซื้อ</t>
        </is>
      </c>
      <c r="C5" s="5" t="inlineStr">
        <is>
          <t>1. เปิด Shopping List
2. เพิ่มรายการพร้อมจำนวน</t>
        </is>
      </c>
      <c r="D5" s="5" t="inlineStr">
        <is>
          <t>รายการปรากฏใน Shopping List</t>
        </is>
      </c>
      <c r="E5" s="5" t="inlineStr"/>
      <c r="F5" s="5" t="inlineStr"/>
      <c r="G5" s="5" t="inlineStr"/>
      <c r="H5" s="5" t="inlineStr"/>
    </row>
    <row r="6">
      <c r="A6" s="5" t="inlineStr">
        <is>
          <t>UAT-SHP-02</t>
        </is>
      </c>
      <c r="B6" s="5" t="inlineStr">
        <is>
          <t>ลบรายการออกจากรายการที่ต้องซื้อ</t>
        </is>
      </c>
      <c r="C6" s="5" t="inlineStr">
        <is>
          <t>1. ลบรายการที่มีอยู่</t>
        </is>
      </c>
      <c r="D6" s="5" t="inlineStr">
        <is>
          <t>รายการหายไปจาก Shopping List</t>
        </is>
      </c>
      <c r="E6" s="5" t="inlineStr"/>
      <c r="F6" s="5" t="inlineStr"/>
      <c r="G6" s="5" t="inlineStr"/>
      <c r="H6" s="5" t="inlineStr"/>
    </row>
    <row r="7">
      <c r="A7" s="5" t="inlineStr">
        <is>
          <t>UAT-SHP-03</t>
        </is>
      </c>
      <c r="B7" s="5" t="inlineStr">
        <is>
          <t>ส่งออกข้อความเพื่อนำไปจัดซื้อ</t>
        </is>
      </c>
      <c r="C7" s="5" t="inlineStr">
        <is>
          <t>1. กดส่งออก/พิมพ์รายการ</t>
        </is>
      </c>
      <c r="D7" s="5" t="inlineStr">
        <is>
          <t>ได้ข้อความรายการของที่ต้องซื้อ พร้อมคัดลอก/ส่งต่อได้</t>
        </is>
      </c>
      <c r="E7" s="5" t="inlineStr"/>
      <c r="F7" s="5" t="inlineStr"/>
      <c r="G7" s="5" t="inlineStr"/>
      <c r="H7" s="5" t="inlineStr"/>
    </row>
  </sheetData>
  <dataValidations count="1">
    <dataValidation sqref="E5 E6 E7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3.10 ข้อมูลลูกค้า (CRM)</t>
        </is>
      </c>
    </row>
    <row r="2">
      <c r="A2" t="inlineStr">
        <is>
          <t>อ้างอิง: TOR ข้อ 3.10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UAT-CRM-01</t>
        </is>
      </c>
      <c r="B5" s="5" t="inlineStr">
        <is>
          <t>สร้างข้อมูลลูกค้าใหม่</t>
        </is>
      </c>
      <c r="C5" s="5" t="inlineStr">
        <is>
          <t>1. สร้างลูกค้า: ชื่อ, เบอร์โทร, อีเมล</t>
        </is>
      </c>
      <c r="D5" s="5" t="inlineStr">
        <is>
          <t>ลูกค้าถูกบันทึกและค้นหาเจอ</t>
        </is>
      </c>
      <c r="E5" s="5" t="inlineStr"/>
      <c r="F5" s="5" t="inlineStr"/>
      <c r="G5" s="5" t="inlineStr"/>
      <c r="H5" s="5" t="inlineStr"/>
    </row>
    <row r="6">
      <c r="A6" s="5" t="inlineStr">
        <is>
          <t>UAT-CRM-02</t>
        </is>
      </c>
      <c r="B6" s="5" t="inlineStr">
        <is>
          <t>ค้นหาลูกค้าด้วยชื่อหรือเบอร์โทร</t>
        </is>
      </c>
      <c r="C6" s="5" t="inlineStr">
        <is>
          <t>1. ค้นหาด้วยบางส่วนของชื่อ
2. ค้นหาด้วยเบอร์โทร</t>
        </is>
      </c>
      <c r="D6" s="5" t="inlineStr">
        <is>
          <t>พบลูกค้าที่ตรงเงื่อนไข</t>
        </is>
      </c>
      <c r="E6" s="5" t="inlineStr"/>
      <c r="F6" s="5" t="inlineStr"/>
      <c r="G6" s="5" t="inlineStr"/>
      <c r="H6" s="5" t="inlineStr"/>
    </row>
    <row r="7">
      <c r="A7" s="5" t="inlineStr">
        <is>
          <t>UAT-CRM-03</t>
        </is>
      </c>
      <c r="B7" s="5" t="inlineStr">
        <is>
          <t>ดูประวัติการสั่งซื้อย้อนหลังของลูกค้า</t>
        </is>
      </c>
      <c r="C7" s="5" t="inlineStr">
        <is>
          <t>1. สร้างออเดอร์ผูกกับลูกค้า
2. เปิดหน้าโปรไฟล์ลูกค้า</t>
        </is>
      </c>
      <c r="D7" s="5" t="inlineStr">
        <is>
          <t>เห็นรายการออเดอร์ล่าสุดของลูกค้า</t>
        </is>
      </c>
      <c r="E7" s="5" t="inlineStr"/>
      <c r="F7" s="5" t="inlineStr"/>
      <c r="G7" s="5" t="inlineStr"/>
      <c r="H7" s="5" t="inlineStr"/>
    </row>
    <row r="8">
      <c r="A8" s="5" t="inlineStr">
        <is>
          <t>UAT-CRM-04</t>
        </is>
      </c>
      <c r="B8" s="5" t="inlineStr">
        <is>
          <t>แก้ไขข้อมูลลูกค้า</t>
        </is>
      </c>
      <c r="C8" s="5" t="inlineStr">
        <is>
          <t>1. แก้ไขเบอร์โทร/อีเมลของลูกค้า
2. บันทึก</t>
        </is>
      </c>
      <c r="D8" s="5" t="inlineStr">
        <is>
          <t>ข้อมูลอัปเดตถูกต้อง</t>
        </is>
      </c>
      <c r="E8" s="5" t="inlineStr"/>
      <c r="F8" s="5" t="inlineStr"/>
      <c r="G8" s="5" t="inlineStr"/>
      <c r="H8" s="5" t="inlineStr"/>
    </row>
  </sheetData>
  <dataValidations count="1">
    <dataValidation sqref="E5 E6 E7 E8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3.11 รายงานและแดชบอร์ด</t>
        </is>
      </c>
    </row>
    <row r="2">
      <c r="A2" t="inlineStr">
        <is>
          <t>อ้างอิง: TOR ข้อ 3.11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UAT-RPT-01</t>
        </is>
      </c>
      <c r="B5" s="5" t="inlineStr">
        <is>
          <t>แดชบอร์ดประจำวันแสดงยอดออเดอร์และรายได้รวม</t>
        </is>
      </c>
      <c r="C5" s="5" t="inlineStr">
        <is>
          <t>1. สร้างและชำระออเดอร์อย่างน้อย 1 รายการวันนี้
2. เปิดแดชบอร์ดประจำวัน</t>
        </is>
      </c>
      <c r="D5" s="5" t="inlineStr">
        <is>
          <t>จำนวนออเดอร์และรายได้รวมตรงกับที่ขายจริง</t>
        </is>
      </c>
      <c r="E5" s="5" t="inlineStr"/>
      <c r="F5" s="5" t="inlineStr"/>
      <c r="G5" s="5" t="inlineStr"/>
      <c r="H5" s="5" t="inlineStr"/>
    </row>
    <row r="6">
      <c r="A6" s="5" t="inlineStr">
        <is>
          <t>UAT-RPT-02</t>
        </is>
      </c>
      <c r="B6" s="5" t="inlineStr">
        <is>
          <t>รายงานยอดขายแบบรายวัน</t>
        </is>
      </c>
      <c r="C6" s="5" t="inlineStr">
        <is>
          <t>1. เปิดรายงานยอดขาย เลือกช่วงวันที่ มุมมองรายวัน</t>
        </is>
      </c>
      <c r="D6" s="5" t="inlineStr">
        <is>
          <t>ยอดขายแยกตามวันถูกต้อง</t>
        </is>
      </c>
      <c r="E6" s="5" t="inlineStr"/>
      <c r="F6" s="5" t="inlineStr"/>
      <c r="G6" s="5" t="inlineStr"/>
      <c r="H6" s="5" t="inlineStr"/>
    </row>
    <row r="7">
      <c r="A7" s="5" t="inlineStr">
        <is>
          <t>UAT-RPT-03</t>
        </is>
      </c>
      <c r="B7" s="5" t="inlineStr">
        <is>
          <t>รายงานยอดขายแบบรายชั่วโมง</t>
        </is>
      </c>
      <c r="C7" s="5" t="inlineStr">
        <is>
          <t>1. เลือกมุมมองรายชั่วโมง</t>
        </is>
      </c>
      <c r="D7" s="5" t="inlineStr">
        <is>
          <t>ยอดขายแยกตามชั่วโมงถูกต้อง</t>
        </is>
      </c>
      <c r="E7" s="5" t="inlineStr"/>
      <c r="F7" s="5" t="inlineStr"/>
      <c r="G7" s="5" t="inlineStr"/>
      <c r="H7" s="5" t="inlineStr"/>
    </row>
    <row r="8">
      <c r="A8" s="5" t="inlineStr">
        <is>
          <t>UAT-RPT-04</t>
        </is>
      </c>
      <c r="B8" s="5" t="inlineStr">
        <is>
          <t>รายงานยอดขายแยกตามสินค้า</t>
        </is>
      </c>
      <c r="C8" s="5" t="inlineStr">
        <is>
          <t>1. เลือกมุมมองตามสินค้า</t>
        </is>
      </c>
      <c r="D8" s="5" t="inlineStr">
        <is>
          <t>ยอดขายต่อสินค้าถูกต้อง</t>
        </is>
      </c>
      <c r="E8" s="5" t="inlineStr"/>
      <c r="F8" s="5" t="inlineStr"/>
      <c r="G8" s="5" t="inlineStr"/>
      <c r="H8" s="5" t="inlineStr"/>
    </row>
    <row r="9">
      <c r="A9" s="5" t="inlineStr">
        <is>
          <t>UAT-RPT-05</t>
        </is>
      </c>
      <c r="B9" s="5" t="inlineStr">
        <is>
          <t>รายงานยอดขายแยกตามหมวดหมู่</t>
        </is>
      </c>
      <c r="C9" s="5" t="inlineStr">
        <is>
          <t>1. เลือกมุมมองตามหมวดหมู่</t>
        </is>
      </c>
      <c r="D9" s="5" t="inlineStr">
        <is>
          <t>ยอดขายต่อหมวดหมู่ถูกต้อง</t>
        </is>
      </c>
      <c r="E9" s="5" t="inlineStr"/>
      <c r="F9" s="5" t="inlineStr"/>
      <c r="G9" s="5" t="inlineStr"/>
      <c r="H9" s="5" t="inlineStr"/>
    </row>
    <row r="10">
      <c r="A10" s="5" t="inlineStr">
        <is>
          <t>UAT-RPT-06</t>
        </is>
      </c>
      <c r="B10" s="5" t="inlineStr">
        <is>
          <t>รายงานยอดขายแยกตามวิธีชำระเงิน</t>
        </is>
      </c>
      <c r="C10" s="5" t="inlineStr">
        <is>
          <t>1. เลือกมุมมองตามวิธีชำระเงิน</t>
        </is>
      </c>
      <c r="D10" s="5" t="inlineStr">
        <is>
          <t>ยอดแยกเงินสด/บัตร/QR ถูกต้อง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UAT-RPT-07</t>
        </is>
      </c>
      <c r="B11" s="5" t="inlineStr">
        <is>
          <t>รายงานต้นทุนสินค้าขาย (COGS)</t>
        </is>
      </c>
      <c r="C11" s="5" t="inlineStr">
        <is>
          <t>1. เปิดรายงาน COGS เลือกช่วงวันที่</t>
        </is>
      </c>
      <c r="D11" s="5" t="inlineStr">
        <is>
          <t>แสดงปริมาณและต้นทุนวัตถุดิบที่ใช้ไป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UAT-RPT-08</t>
        </is>
      </c>
      <c r="B12" s="5" t="inlineStr">
        <is>
          <t>รายงานของเสีย</t>
        </is>
      </c>
      <c r="C12" s="5" t="inlineStr">
        <is>
          <t>1. เปิดรายงานของเสีย เลือกช่วงวันที่</t>
        </is>
      </c>
      <c r="D12" s="5" t="inlineStr">
        <is>
          <t>แสดงของเสียพร้อมเหตุผลและมูลค่า</t>
        </is>
      </c>
      <c r="E12" s="5" t="inlineStr"/>
      <c r="F12" s="5" t="inlineStr"/>
      <c r="G12" s="5" t="inlineStr"/>
      <c r="H12" s="5" t="inlineStr"/>
    </row>
    <row r="13">
      <c r="A13" s="5" t="inlineStr">
        <is>
          <t>UAT-RPT-09</t>
        </is>
      </c>
      <c r="B13" s="5" t="inlineStr">
        <is>
          <t>รายงานสต็อกต่ำ</t>
        </is>
      </c>
      <c r="C13" s="5" t="inlineStr">
        <is>
          <t>1. เปิดรายงานสต็อกต่ำ</t>
        </is>
      </c>
      <c r="D13" s="5" t="inlineStr">
        <is>
          <t>แสดงวัตถุดิบที่ต่ำกว่า Par Level</t>
        </is>
      </c>
      <c r="E13" s="5" t="inlineStr"/>
      <c r="F13" s="5" t="inlineStr"/>
      <c r="G13" s="5" t="inlineStr"/>
      <c r="H13" s="5" t="inlineStr"/>
    </row>
    <row r="14">
      <c r="A14" s="5" t="inlineStr">
        <is>
          <t>UAT-RPT-10</t>
        </is>
      </c>
      <c r="B14" s="5" t="inlineStr">
        <is>
          <t>รายงานกะแคชเชียร์</t>
        </is>
      </c>
      <c r="C14" s="5" t="inlineStr">
        <is>
          <t>1. เปิดรายงานกะแคชเชียร์ เลือกช่วงวันที่</t>
        </is>
      </c>
      <c r="D14" s="5" t="inlineStr">
        <is>
          <t>แสดงเซสชันเงินสดพร้อมยอดเปิด-ปิด</t>
        </is>
      </c>
      <c r="E14" s="5" t="inlineStr"/>
      <c r="F14" s="5" t="inlineStr"/>
      <c r="G14" s="5" t="inlineStr"/>
      <c r="H14" s="5" t="inlineStr"/>
    </row>
  </sheetData>
  <dataValidations count="1">
    <dataValidation sqref="E5 E6 E7 E8 E9 E10 E11 E12 E13 E14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ข้อ 4 ข้อกำหนดทางเทคนิค</t>
        </is>
      </c>
    </row>
    <row r="2">
      <c r="A2" t="inlineStr">
        <is>
          <t>อ้างอิง: TOR ข้อ 4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UAT-TEC-01</t>
        </is>
      </c>
      <c r="B5" s="5" t="inlineStr">
        <is>
          <t>การแยกข้อมูลระหว่างสาขา (Multi-tenant)</t>
        </is>
      </c>
      <c r="C5" s="5" t="inlineStr">
        <is>
          <t>1. เข้าสู่ระบบด้วยพนักงานสาขา A
2. ตรวจว่าเห็นเฉพาะออเดอร์/สต็อก/ลูกค้าของสาขา A
3. ทำซ้ำกับสาขา B</t>
        </is>
      </c>
      <c r="D5" s="5" t="inlineStr">
        <is>
          <t>พนักงานแต่ละสาขาเห็นเฉพาะข้อมูลสาขาตนเอง</t>
        </is>
      </c>
      <c r="E5" s="5" t="inlineStr"/>
      <c r="F5" s="5" t="inlineStr"/>
      <c r="G5" s="5" t="inlineStr"/>
      <c r="H5" s="5" t="inlineStr"/>
    </row>
    <row r="6">
      <c r="A6" s="5" t="inlineStr">
        <is>
          <t>UAT-TEC-02</t>
        </is>
      </c>
      <c r="B6" s="5" t="inlineStr">
        <is>
          <t>ความแม่นยำของตัวเลขเงินและปริมาณ</t>
        </is>
      </c>
      <c r="C6" s="5" t="inlineStr">
        <is>
          <t>1. สร้างออเดอร์ที่มีตัวเลือกราคาบวกเพิ่มหลายรายการ
2. ตรวจยอดรวมเทียบการคำนวณด้วยมือ</t>
        </is>
      </c>
      <c r="D6" s="5" t="inlineStr">
        <is>
          <t>ยอดรวมตรงเป๊ะ ไม่มีเศษทศนิยมคลาดเคลื่อน</t>
        </is>
      </c>
      <c r="E6" s="5" t="inlineStr"/>
      <c r="F6" s="5" t="inlineStr"/>
      <c r="G6" s="5" t="inlineStr"/>
      <c r="H6" s="5" t="inlineStr"/>
    </row>
    <row r="7">
      <c r="A7" s="5" t="inlineStr">
        <is>
          <t>UAT-TEC-03</t>
        </is>
      </c>
      <c r="B7" s="5" t="inlineStr">
        <is>
          <t>ประวัติสต็อกแบบ Append-only</t>
        </is>
      </c>
      <c r="C7" s="5" t="inlineStr">
        <is>
          <t>1. ทำรายการขาย/รับ/ปรับยอด
2. ตรวจประวัติการเคลื่อนไหว</t>
        </is>
      </c>
      <c r="D7" s="5" t="inlineStr">
        <is>
          <t>ทุกการเปลี่ยนแปลงมีบันทึกถาวร ไม่มีการลบ/แก้รายการเดิม</t>
        </is>
      </c>
      <c r="E7" s="5" t="inlineStr"/>
      <c r="F7" s="5" t="inlineStr"/>
      <c r="G7" s="5" t="inlineStr"/>
      <c r="H7" s="5" t="inlineStr"/>
    </row>
    <row r="8">
      <c r="A8" s="5" t="inlineStr">
        <is>
          <t>UAT-TEC-04</t>
        </is>
      </c>
      <c r="B8" s="5" t="inlineStr">
        <is>
          <t>ใช้งานผ่านคลาวด์ (Railway) ได้จากหลายอุปกรณ์</t>
        </is>
      </c>
      <c r="C8" s="5" t="inlineStr">
        <is>
          <t>1. เปิดระบบจาก URL จริงบนอุปกรณ์ 2 เครื่องพร้อมกัน</t>
        </is>
      </c>
      <c r="D8" s="5" t="inlineStr">
        <is>
          <t>ใช้งานได้ปกติทั้งสองเครื่อง ข้อมูลตรงกัน</t>
        </is>
      </c>
      <c r="E8" s="5" t="inlineStr"/>
      <c r="F8" s="5" t="inlineStr"/>
      <c r="G8" s="5" t="inlineStr"/>
      <c r="H8" s="5" t="inlineStr"/>
    </row>
  </sheetData>
  <dataValidations count="1">
    <dataValidation sqref="E5 E6 E7 E8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42" customWidth="1" min="4" max="4"/>
    <col width="10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การทดสอบ: ฟังก์ชันเพิ่มเติม (นอก TOR)</t>
        </is>
      </c>
    </row>
    <row r="2">
      <c r="A2" t="inlineStr">
        <is>
          <t>อ้างอิง: นอกเหนือ TOR — ไม่อยู่ในเกณฑ์การตรวจรับ</t>
        </is>
      </c>
    </row>
    <row r="4">
      <c r="A4" s="3" t="inlineStr">
        <is>
          <t>รหัส</t>
        </is>
      </c>
      <c r="B4" s="3" t="inlineStr">
        <is>
          <t>สถานการณ์ทดสอบ</t>
        </is>
      </c>
      <c r="C4" s="3" t="inlineStr">
        <is>
          <t>ขั้นตอน</t>
        </is>
      </c>
      <c r="D4" s="3" t="inlineStr">
        <is>
          <t>ผลที่คาดหวัง</t>
        </is>
      </c>
      <c r="E4" s="3" t="inlineStr">
        <is>
          <t>ผล</t>
        </is>
      </c>
      <c r="F4" s="3" t="inlineStr">
        <is>
          <t>หมายเหตุ</t>
        </is>
      </c>
      <c r="G4" s="3" t="inlineStr">
        <is>
          <t>ผู้ทดสอบ</t>
        </is>
      </c>
      <c r="H4" s="3" t="inlineStr">
        <is>
          <t>วันที่</t>
        </is>
      </c>
    </row>
    <row r="5">
      <c r="A5" s="5" t="inlineStr">
        <is>
          <t>UAT-EXT-01</t>
        </is>
      </c>
      <c r="B5" s="5" t="inlineStr">
        <is>
          <t>สมัครสมาชิกลูกค้า (Membership)</t>
        </is>
      </c>
      <c r="C5" s="5" t="inlineStr">
        <is>
          <t>1. สมัครสมาชิกด้วยเบอร์โทรลูกค้า</t>
        </is>
      </c>
      <c r="D5" s="5" t="inlineStr">
        <is>
          <t>ลูกค้ามีบัญชีสมาชิกและแต้มเริ่มต้น</t>
        </is>
      </c>
      <c r="E5" s="5" t="inlineStr"/>
      <c r="F5" s="5" t="inlineStr"/>
      <c r="G5" s="5" t="inlineStr"/>
      <c r="H5" s="5" t="inlineStr"/>
    </row>
    <row r="6">
      <c r="A6" s="5" t="inlineStr">
        <is>
          <t>UAT-EXT-02</t>
        </is>
      </c>
      <c r="B6" s="5" t="inlineStr">
        <is>
          <t>สะสมแต้มจากการซื้อ</t>
        </is>
      </c>
      <c r="C6" s="5" t="inlineStr">
        <is>
          <t>1. ชำระออเดอร์โดยระบุสมาชิก
2. ตรวจแต้ม</t>
        </is>
      </c>
      <c r="D6" s="5" t="inlineStr">
        <is>
          <t>แต้มเพิ่มตามกติกาโปรแกรม (ต่อบิล/ต่อบาท/ต่อชิ้น)</t>
        </is>
      </c>
      <c r="E6" s="5" t="inlineStr"/>
      <c r="F6" s="5" t="inlineStr"/>
      <c r="G6" s="5" t="inlineStr"/>
      <c r="H6" s="5" t="inlineStr"/>
    </row>
    <row r="7">
      <c r="A7" s="5" t="inlineStr">
        <is>
          <t>UAT-EXT-03</t>
        </is>
      </c>
      <c r="B7" s="5" t="inlineStr">
        <is>
          <t>แลกแต้มรับส่วนลด/ของฟรี</t>
        </is>
      </c>
      <c r="C7" s="5" t="inlineStr">
        <is>
          <t>1. แลกรางวัลที่ตั้งค่าไว้ในออเดอร์</t>
        </is>
      </c>
      <c r="D7" s="5" t="inlineStr">
        <is>
          <t>ส่วนลด/ของฟรีถูกใช้และแต้มถูกหัก</t>
        </is>
      </c>
      <c r="E7" s="5" t="inlineStr"/>
      <c r="F7" s="5" t="inlineStr"/>
      <c r="G7" s="5" t="inlineStr"/>
      <c r="H7" s="5" t="inlineStr"/>
    </row>
    <row r="8">
      <c r="A8" s="5" t="inlineStr">
        <is>
          <t>UAT-EXT-04</t>
        </is>
      </c>
      <c r="B8" s="5" t="inlineStr">
        <is>
          <t>โปรโมชันส่วนลดเปอร์เซ็นต์</t>
        </is>
      </c>
      <c r="C8" s="5" t="inlineStr">
        <is>
          <t>1. ตั้งโปรโมชันลด % แล้วสร้างออเดอร์ที่เข้าเงื่อนไข</t>
        </is>
      </c>
      <c r="D8" s="5" t="inlineStr">
        <is>
          <t>ส่วนลดคำนวณอัตโนมัติถูกต้อง</t>
        </is>
      </c>
      <c r="E8" s="5" t="inlineStr"/>
      <c r="F8" s="5" t="inlineStr"/>
      <c r="G8" s="5" t="inlineStr"/>
      <c r="H8" s="5" t="inlineStr"/>
    </row>
    <row r="9">
      <c r="A9" s="5" t="inlineStr">
        <is>
          <t>UAT-EXT-05</t>
        </is>
      </c>
      <c r="B9" s="5" t="inlineStr">
        <is>
          <t>โปรโมชัน Happy Hour</t>
        </is>
      </c>
      <c r="C9" s="5" t="inlineStr">
        <is>
          <t>1. ตั้งช่วงเวลา Happy Hour แล้วสั่งสินค้าในช่วงเวลานั้น</t>
        </is>
      </c>
      <c r="D9" s="5" t="inlineStr">
        <is>
          <t>ราคา/ส่วนลดมีผลเฉพาะช่วงเวลาที่กำหนด</t>
        </is>
      </c>
      <c r="E9" s="5" t="inlineStr"/>
      <c r="F9" s="5" t="inlineStr"/>
      <c r="G9" s="5" t="inlineStr"/>
      <c r="H9" s="5" t="inlineStr"/>
    </row>
    <row r="10">
      <c r="A10" s="5" t="inlineStr">
        <is>
          <t>UAT-EXT-06</t>
        </is>
      </c>
      <c r="B10" s="5" t="inlineStr">
        <is>
          <t>ใบสั่งผลิต (Production Order) เพิ่มสต็อกสินค้าสำเร็จ</t>
        </is>
      </c>
      <c r="C10" s="5" t="inlineStr">
        <is>
          <t>1. สร้างใบสั่งผลิตสินค้าประเภท Produced
2. ยืนยันการผลิต
3. ตรวจสต็อก</t>
        </is>
      </c>
      <c r="D10" s="5" t="inlineStr">
        <is>
          <t>วัตถุดิบถูกตัด สินค้าสำเร็จเพิ่มเข้าสต็อกพร้อมต้นทุนต่อหน่วย</t>
        </is>
      </c>
      <c r="E10" s="5" t="inlineStr"/>
      <c r="F10" s="5" t="inlineStr"/>
      <c r="G10" s="5" t="inlineStr"/>
      <c r="H10" s="5" t="inlineStr"/>
    </row>
    <row r="11">
      <c r="A11" s="5" t="inlineStr">
        <is>
          <t>UAT-EXT-07</t>
        </is>
      </c>
      <c r="B11" s="5" t="inlineStr">
        <is>
          <t>ตรวจนับสต็อก (Stock Take)</t>
        </is>
      </c>
      <c r="C11" s="5" t="inlineStr">
        <is>
          <t>1. เปิดรอบตรวจนับ
2. กรอกจำนวนที่นับได้จริง
3. ปิดรอบ</t>
        </is>
      </c>
      <c r="D11" s="5" t="inlineStr">
        <is>
          <t>ระบบสร้างรายการปรับยอดตามผลต่างให้อัตโนมัติ</t>
        </is>
      </c>
      <c r="E11" s="5" t="inlineStr"/>
      <c r="F11" s="5" t="inlineStr"/>
      <c r="G11" s="5" t="inlineStr"/>
      <c r="H11" s="5" t="inlineStr"/>
    </row>
    <row r="12">
      <c r="A12" s="5" t="inlineStr">
        <is>
          <t>UAT-EXT-08</t>
        </is>
      </c>
      <c r="B12" s="5" t="inlineStr">
        <is>
          <t>QR PromptPay พร้อมยอดเงิน</t>
        </is>
      </c>
      <c r="C12" s="5" t="inlineStr">
        <is>
          <t>1. เปิด QR ชำระเงินของออเดอร์</t>
        </is>
      </c>
      <c r="D12" s="5" t="inlineStr">
        <is>
          <t>QR สแกนได้และยอดเงินตรงกับออเดอร์</t>
        </is>
      </c>
      <c r="E12" s="5" t="inlineStr"/>
      <c r="F12" s="5" t="inlineStr"/>
      <c r="G12" s="5" t="inlineStr"/>
      <c r="H12" s="5" t="inlineStr"/>
    </row>
    <row r="13">
      <c r="A13" s="5" t="inlineStr">
        <is>
          <t>UAT-EXT-09</t>
        </is>
      </c>
      <c r="B13" s="5" t="inlineStr">
        <is>
          <t>เลขที่ใบเสร็จและเลขออเดอร์รายวัน</t>
        </is>
      </c>
      <c r="C13" s="5" t="inlineStr">
        <is>
          <t>1. สร้างออเดอร์ 2 รายการในวันเดียวกัน
2. ตรวจเลขออเดอร์และเลขใบเสร็จ</t>
        </is>
      </c>
      <c r="D13" s="5" t="inlineStr">
        <is>
          <t>เลขออเดอร์รันต่อเนื่องและรีเซ็ตทุกวัน เลขใบเสร็จรูปแบบ IVppppMMDD-NNNN (พ.ศ.)</t>
        </is>
      </c>
      <c r="E13" s="5" t="inlineStr"/>
      <c r="F13" s="5" t="inlineStr"/>
      <c r="G13" s="5" t="inlineStr"/>
      <c r="H13" s="5" t="inlineStr"/>
    </row>
  </sheetData>
  <dataValidations count="1">
    <dataValidation sqref="E5 E6 E7 E8 E9 E10 E11 E12 E13" showDropDown="0" showInputMessage="0" showErrorMessage="0" allowBlank="1" type="list">
      <formula1>"ผ่าน,ไม่ผ่าน"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2026-06-11T07:43:02Z</dcterms:created>
  <dcterms:modified xsi:type="dcterms:W3CDTF">2026-06-11T07:43:02Z</dcterms:modified>
</cp:coreProperties>
</file>